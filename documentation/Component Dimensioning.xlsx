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\Nextcloud\Documents\Schuldaten\Holtkamp\Abschlussprojekt\Diverses\"/>
    </mc:Choice>
  </mc:AlternateContent>
  <xr:revisionPtr revIDLastSave="0" documentId="13_ncr:1_{F50F90A5-23EF-4E55-A0A3-F67495F8703F}" xr6:coauthVersionLast="36" xr6:coauthVersionMax="36" xr10:uidLastSave="{00000000-0000-0000-0000-000000000000}"/>
  <bookViews>
    <workbookView xWindow="0" yWindow="0" windowWidth="23040" windowHeight="9072" xr2:uid="{348EB07B-791B-4A67-9D35-ADBD51966EE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2" i="1" l="1"/>
  <c r="I120" i="1"/>
  <c r="I118" i="1"/>
  <c r="I109" i="1"/>
  <c r="I97" i="1" l="1"/>
  <c r="I95" i="1"/>
  <c r="L57" i="1"/>
  <c r="K77" i="1"/>
  <c r="K64" i="1"/>
  <c r="J37" i="1"/>
  <c r="J35" i="1"/>
</calcChain>
</file>

<file path=xl/sharedStrings.xml><?xml version="1.0" encoding="utf-8"?>
<sst xmlns="http://schemas.openxmlformats.org/spreadsheetml/2006/main" count="82" uniqueCount="70">
  <si>
    <t>Basic Configuration of  a Buck-Boost Converter</t>
  </si>
  <si>
    <t>Neccessary Parameters of the Power Stage</t>
  </si>
  <si>
    <t>1.</t>
  </si>
  <si>
    <t>Vin min &amp; Vin max</t>
  </si>
  <si>
    <t>2.</t>
  </si>
  <si>
    <t>3.</t>
  </si>
  <si>
    <t>4.</t>
  </si>
  <si>
    <t>Vout</t>
  </si>
  <si>
    <t>Iout</t>
  </si>
  <si>
    <t>The circuit used for the converter (neccesary as some parameters are derived from datasheet)</t>
  </si>
  <si>
    <t>Input Voltage Range</t>
  </si>
  <si>
    <t>Nominal Output Voltage</t>
  </si>
  <si>
    <t>Maximum Output Current</t>
  </si>
  <si>
    <t>Vout =</t>
  </si>
  <si>
    <t>Iout =</t>
  </si>
  <si>
    <t>Vin max =</t>
  </si>
  <si>
    <t>Vin min =</t>
  </si>
  <si>
    <t>1.1</t>
  </si>
  <si>
    <t>Duty Cycle Calculation</t>
  </si>
  <si>
    <t>η</t>
  </si>
  <si>
    <t>D Buck</t>
  </si>
  <si>
    <t>D Boost</t>
  </si>
  <si>
    <t xml:space="preserve"> = minimum Dutycycle for Buckmode</t>
  </si>
  <si>
    <t xml:space="preserve"> = maximum Dutycycle for Boostmode</t>
  </si>
  <si>
    <t xml:space="preserve"> = estimated efficiency at calculated Vin, Vout, Iout</t>
  </si>
  <si>
    <t xml:space="preserve"> = Input Voltage Range</t>
  </si>
  <si>
    <t xml:space="preserve"> = Nominal Output Voltage</t>
  </si>
  <si>
    <t xml:space="preserve"> = Maximum Output Current</t>
  </si>
  <si>
    <t>D Buck =</t>
  </si>
  <si>
    <t>D Boost =</t>
  </si>
  <si>
    <t>Input your values here</t>
  </si>
  <si>
    <t>Basic Calculations of a 4 Switch Buck-Boost Power Stage</t>
  </si>
  <si>
    <t>Inductor Selection</t>
  </si>
  <si>
    <t>If you have a datasheet, select an inductor within the recommended range</t>
  </si>
  <si>
    <t>Lower inductance value = smaller solution size</t>
  </si>
  <si>
    <t>Inductor must always have higher current rating thatn the highest value from Equation 5 or 8</t>
  </si>
  <si>
    <t>his is
because the peak current increases with decreasing inductance</t>
  </si>
  <si>
    <t>If no datasheet is available, calculate an inductance value that satisfies both Buck &amp; Boost mode</t>
  </si>
  <si>
    <t>Select the largest inductance value from Equation 3 &amp; 4</t>
  </si>
  <si>
    <t>3.1</t>
  </si>
  <si>
    <t>3.2</t>
  </si>
  <si>
    <t>Buck Mode</t>
  </si>
  <si>
    <t>Boost Mode</t>
  </si>
  <si>
    <t xml:space="preserve">A good estimation for the inductor ripple current is 20% to 40% </t>
  </si>
  <si>
    <t>of the output current, or 0.2 &lt; Kind &lt; 0.4.</t>
  </si>
  <si>
    <t>L &gt;</t>
  </si>
  <si>
    <t>F sw =</t>
  </si>
  <si>
    <t>K ind =</t>
  </si>
  <si>
    <t xml:space="preserve"> = Switching frequency</t>
  </si>
  <si>
    <t xml:space="preserve"> = estimated coefficient that represents the amount of inductor ripple current relative to the
maximum output current</t>
  </si>
  <si>
    <t>This equation is only a good estimate for the correct inductance</t>
  </si>
  <si>
    <t>Higher inductance = higher possible maximum output current because
of the reduced ripple current</t>
  </si>
  <si>
    <t>Maximum Switch Current</t>
  </si>
  <si>
    <t>The Maximum Switch Current is only derived like in section 2</t>
  </si>
  <si>
    <t>Use the bigger switch current from equation 5 &amp; 6</t>
  </si>
  <si>
    <t>Highest Value for L =</t>
  </si>
  <si>
    <t>ΔI max =</t>
  </si>
  <si>
    <t>I SW max =</t>
  </si>
  <si>
    <t>4</t>
  </si>
  <si>
    <t>4.1</t>
  </si>
  <si>
    <t>4.2</t>
  </si>
  <si>
    <t>I max out =</t>
  </si>
  <si>
    <t>I Lim=</t>
  </si>
  <si>
    <t xml:space="preserve"> = Maximum Switching current (check MOSFET dadasheet)</t>
  </si>
  <si>
    <t>5</t>
  </si>
  <si>
    <t>Output Voltage Setting</t>
  </si>
  <si>
    <t>Skip this chapter, we dont nee</t>
  </si>
  <si>
    <t xml:space="preserve"> = ca 2,8uH</t>
  </si>
  <si>
    <t xml:space="preserve"> = ca. 28,2uH</t>
  </si>
  <si>
    <t>Note: Theres an error in Equation for D Boost - use Vinmin instead of Vinmax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</si>
</sst>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A&quot;"/>
    <numFmt numFmtId="165" formatCode="0\ &quot;V&quot;"/>
    <numFmt numFmtId="166" formatCode="0.0%"/>
    <numFmt numFmtId="167" formatCode="0.00\ &quot;A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2"/>
    <xf numFmtId="49" fontId="2" fillId="2" borderId="0" xfId="2" applyNumberFormat="1" applyAlignment="1">
      <alignment horizontal="right"/>
    </xf>
    <xf numFmtId="0" fontId="2" fillId="2" borderId="0" xfId="2" applyAlignment="1"/>
    <xf numFmtId="0" fontId="1" fillId="3" borderId="0" xfId="3"/>
    <xf numFmtId="0" fontId="1" fillId="3" borderId="0" xfId="3" applyAlignment="1">
      <alignment horizontal="right"/>
    </xf>
    <xf numFmtId="0" fontId="1" fillId="4" borderId="0" xfId="4"/>
    <xf numFmtId="164" fontId="1" fillId="4" borderId="0" xfId="4" applyNumberFormat="1" applyAlignment="1">
      <alignment horizontal="left"/>
    </xf>
    <xf numFmtId="165" fontId="1" fillId="4" borderId="0" xfId="4" applyNumberFormat="1" applyAlignment="1">
      <alignment horizontal="left"/>
    </xf>
    <xf numFmtId="0" fontId="3" fillId="0" borderId="0" xfId="5"/>
    <xf numFmtId="9" fontId="0" fillId="4" borderId="0" xfId="1" applyFont="1" applyFill="1"/>
    <xf numFmtId="49" fontId="1" fillId="3" borderId="0" xfId="3" applyNumberFormat="1"/>
    <xf numFmtId="0" fontId="1" fillId="3" borderId="0" xfId="3" applyAlignment="1"/>
    <xf numFmtId="0" fontId="1" fillId="3" borderId="1" xfId="3" applyBorder="1" applyAlignment="1">
      <alignment horizontal="right"/>
    </xf>
    <xf numFmtId="0" fontId="1" fillId="3" borderId="2" xfId="3" applyBorder="1"/>
    <xf numFmtId="0" fontId="1" fillId="3" borderId="1" xfId="3" applyBorder="1"/>
    <xf numFmtId="9" fontId="1" fillId="4" borderId="0" xfId="4" applyNumberFormat="1"/>
    <xf numFmtId="0" fontId="0" fillId="3" borderId="0" xfId="3" applyFont="1"/>
    <xf numFmtId="0" fontId="0" fillId="3" borderId="0" xfId="3" applyFont="1" applyAlignment="1"/>
    <xf numFmtId="0" fontId="0" fillId="3" borderId="0" xfId="3" applyFont="1" applyAlignment="1">
      <alignment horizontal="right"/>
    </xf>
    <xf numFmtId="0" fontId="0" fillId="3" borderId="1" xfId="3" applyFont="1" applyBorder="1" applyAlignment="1">
      <alignment horizontal="right"/>
    </xf>
    <xf numFmtId="0" fontId="0" fillId="3" borderId="1" xfId="3" applyFont="1" applyBorder="1" applyAlignment="1">
      <alignment horizontal="left"/>
    </xf>
    <xf numFmtId="0" fontId="0" fillId="3" borderId="1" xfId="3" applyFont="1" applyBorder="1"/>
    <xf numFmtId="166" fontId="1" fillId="3" borderId="2" xfId="1" applyNumberFormat="1" applyFill="1" applyBorder="1"/>
    <xf numFmtId="167" fontId="0" fillId="3" borderId="2" xfId="3" applyNumberFormat="1" applyFont="1" applyBorder="1"/>
    <xf numFmtId="167" fontId="1" fillId="3" borderId="2" xfId="3" applyNumberFormat="1" applyBorder="1"/>
  </cellXfs>
  <cellStyles count="6">
    <cellStyle name="60 % - Akzent1" xfId="3" builtinId="32"/>
    <cellStyle name="60 % - Akzent2" xfId="4" builtinId="36"/>
    <cellStyle name="Akzent1" xfId="2" builtinId="29"/>
    <cellStyle name="Link" xfId="5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14</xdr:row>
      <xdr:rowOff>76200</xdr:rowOff>
    </xdr:from>
    <xdr:to>
      <xdr:col>6</xdr:col>
      <xdr:colOff>403860</xdr:colOff>
      <xdr:row>21</xdr:row>
      <xdr:rowOff>123963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12234F0-28CE-43D5-BDE2-85C27CC1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4540" y="2636520"/>
          <a:ext cx="3124200" cy="1327923"/>
        </a:xfrm>
        <a:prstGeom prst="rect">
          <a:avLst/>
        </a:prstGeom>
      </xdr:spPr>
    </xdr:pic>
    <xdr:clientData/>
  </xdr:twoCellAnchor>
  <xdr:twoCellAnchor>
    <xdr:from>
      <xdr:col>2</xdr:col>
      <xdr:colOff>68580</xdr:colOff>
      <xdr:row>32</xdr:row>
      <xdr:rowOff>40840</xdr:rowOff>
    </xdr:from>
    <xdr:to>
      <xdr:col>5</xdr:col>
      <xdr:colOff>550220</xdr:colOff>
      <xdr:row>41</xdr:row>
      <xdr:rowOff>15240</xdr:rowOff>
    </xdr:to>
    <xdr:grpSp>
      <xdr:nvGrpSpPr>
        <xdr:cNvPr id="11" name="Gruppieren 10">
          <a:extLst>
            <a:ext uri="{FF2B5EF4-FFF2-40B4-BE49-F238E27FC236}">
              <a16:creationId xmlns:a16="http://schemas.microsoft.com/office/drawing/2014/main" id="{EEFE3FFE-35E5-437A-8166-657F06B04818}"/>
            </a:ext>
          </a:extLst>
        </xdr:cNvPr>
        <xdr:cNvGrpSpPr/>
      </xdr:nvGrpSpPr>
      <xdr:grpSpPr>
        <a:xfrm>
          <a:off x="1649730" y="5832040"/>
          <a:ext cx="2853365" cy="1641275"/>
          <a:chOff x="1653540" y="5893000"/>
          <a:chExt cx="2859080" cy="1620320"/>
        </a:xfrm>
      </xdr:grpSpPr>
      <xdr:grpSp>
        <xdr:nvGrpSpPr>
          <xdr:cNvPr id="9" name="Gruppieren 8">
            <a:extLst>
              <a:ext uri="{FF2B5EF4-FFF2-40B4-BE49-F238E27FC236}">
                <a16:creationId xmlns:a16="http://schemas.microsoft.com/office/drawing/2014/main" id="{47E93160-97E5-4EAC-85F1-4418DEF65706}"/>
              </a:ext>
            </a:extLst>
          </xdr:cNvPr>
          <xdr:cNvGrpSpPr/>
        </xdr:nvGrpSpPr>
        <xdr:grpSpPr>
          <a:xfrm>
            <a:off x="1658420" y="5893000"/>
            <a:ext cx="2854200" cy="1612510"/>
            <a:chOff x="1658420" y="5893000"/>
            <a:chExt cx="2854200" cy="1612510"/>
          </a:xfrm>
        </xdr:grpSpPr>
        <xdr:pic>
          <xdr:nvPicPr>
            <xdr:cNvPr id="2" name="Grafik 1">
              <a:extLst>
                <a:ext uri="{FF2B5EF4-FFF2-40B4-BE49-F238E27FC236}">
                  <a16:creationId xmlns:a16="http://schemas.microsoft.com/office/drawing/2014/main" id="{719DB66C-4AE4-40D2-B12B-2DFAAD0271CA}"/>
                </a:ext>
                <a:ext uri="{C183D7F6-B498-43B3-948B-1728B52AA6E4}">
                  <adec:decorative xmlns:adec="http://schemas.microsoft.com/office/drawing/2017/decorative" val="0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12620" y="5981700"/>
              <a:ext cx="2600000" cy="1523810"/>
            </a:xfrm>
            <a:prstGeom prst="rect">
              <a:avLst/>
            </a:prstGeom>
          </xdr:spPr>
        </xdr:pic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5519A260-CFFF-4A02-ABC1-7703BF378D3E}"/>
                </a:ext>
              </a:extLst>
            </xdr:cNvPr>
            <xdr:cNvSpPr txBox="1"/>
          </xdr:nvSpPr>
          <xdr:spPr>
            <a:xfrm rot="16200000">
              <a:off x="1369160" y="6182260"/>
              <a:ext cx="8430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de-DE" sz="1100"/>
                <a:t>Equation 1</a:t>
              </a:r>
            </a:p>
          </xdr:txBody>
        </xdr:sp>
      </xdr:grpSp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F6A31FBF-12E3-4C0D-A11C-F6F49F39ABAE}"/>
              </a:ext>
            </a:extLst>
          </xdr:cNvPr>
          <xdr:cNvSpPr txBox="1"/>
        </xdr:nvSpPr>
        <xdr:spPr>
          <a:xfrm rot="16200000">
            <a:off x="1370530" y="6965750"/>
            <a:ext cx="83058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 2</a:t>
            </a:r>
          </a:p>
        </xdr:txBody>
      </xdr:sp>
    </xdr:grpSp>
    <xdr:clientData/>
  </xdr:twoCellAnchor>
  <xdr:twoCellAnchor>
    <xdr:from>
      <xdr:col>1</xdr:col>
      <xdr:colOff>289560</xdr:colOff>
      <xdr:row>61</xdr:row>
      <xdr:rowOff>83820</xdr:rowOff>
    </xdr:from>
    <xdr:to>
      <xdr:col>8</xdr:col>
      <xdr:colOff>290272</xdr:colOff>
      <xdr:row>71</xdr:row>
      <xdr:rowOff>32002</xdr:rowOff>
    </xdr:to>
    <xdr:grpSp>
      <xdr:nvGrpSpPr>
        <xdr:cNvPr id="12" name="Gruppieren 11">
          <a:extLst>
            <a:ext uri="{FF2B5EF4-FFF2-40B4-BE49-F238E27FC236}">
              <a16:creationId xmlns:a16="http://schemas.microsoft.com/office/drawing/2014/main" id="{F49FD3E7-BC63-47D0-8572-EDB4AE36305A}"/>
            </a:ext>
          </a:extLst>
        </xdr:cNvPr>
        <xdr:cNvGrpSpPr/>
      </xdr:nvGrpSpPr>
      <xdr:grpSpPr>
        <a:xfrm>
          <a:off x="1080135" y="11180445"/>
          <a:ext cx="5534737" cy="1776982"/>
          <a:chOff x="1051560" y="11216640"/>
          <a:chExt cx="5548072" cy="1776982"/>
        </a:xfrm>
      </xdr:grpSpPr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FD22C3D6-7F7B-4D61-B8DB-4CEB65F66166}"/>
              </a:ext>
            </a:extLst>
          </xdr:cNvPr>
          <xdr:cNvSpPr txBox="1"/>
        </xdr:nvSpPr>
        <xdr:spPr>
          <a:xfrm rot="16200000">
            <a:off x="722830" y="11545370"/>
            <a:ext cx="92202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</a:t>
            </a:r>
            <a:r>
              <a:rPr lang="de-DE" sz="1100" baseline="0"/>
              <a:t> 3</a:t>
            </a:r>
            <a:endParaRPr lang="de-DE" sz="1100"/>
          </a:p>
        </xdr:txBody>
      </xdr:sp>
      <xdr:pic>
        <xdr:nvPicPr>
          <xdr:cNvPr id="10" name="Grafik 9">
            <a:extLst>
              <a:ext uri="{FF2B5EF4-FFF2-40B4-BE49-F238E27FC236}">
                <a16:creationId xmlns:a16="http://schemas.microsoft.com/office/drawing/2014/main" id="{479C94C9-D65C-4330-B817-06E3E7009D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25879" y="11302438"/>
            <a:ext cx="5273753" cy="169118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274320</xdr:colOff>
      <xdr:row>74</xdr:row>
      <xdr:rowOff>45720</xdr:rowOff>
    </xdr:from>
    <xdr:to>
      <xdr:col>8</xdr:col>
      <xdr:colOff>210285</xdr:colOff>
      <xdr:row>84</xdr:row>
      <xdr:rowOff>24373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ACD2D5C7-E530-46F0-8AAA-CB46E3011A8C}"/>
            </a:ext>
          </a:extLst>
        </xdr:cNvPr>
        <xdr:cNvGrpSpPr/>
      </xdr:nvGrpSpPr>
      <xdr:grpSpPr>
        <a:xfrm>
          <a:off x="1064895" y="13514070"/>
          <a:ext cx="5469990" cy="1807453"/>
          <a:chOff x="1097280" y="13601700"/>
          <a:chExt cx="5483325" cy="1807453"/>
        </a:xfrm>
      </xdr:grpSpPr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DC23AF11-D4E6-4495-9C72-D2534F6854AB}"/>
              </a:ext>
            </a:extLst>
          </xdr:cNvPr>
          <xdr:cNvSpPr txBox="1"/>
        </xdr:nvSpPr>
        <xdr:spPr>
          <a:xfrm rot="16200000">
            <a:off x="829510" y="13869470"/>
            <a:ext cx="800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 4</a:t>
            </a:r>
          </a:p>
        </xdr:txBody>
      </xdr:sp>
      <xdr:pic>
        <xdr:nvPicPr>
          <xdr:cNvPr id="14" name="Grafik 13">
            <a:extLst>
              <a:ext uri="{FF2B5EF4-FFF2-40B4-BE49-F238E27FC236}">
                <a16:creationId xmlns:a16="http://schemas.microsoft.com/office/drawing/2014/main" id="{1DC896E3-D338-40C5-BA45-4F7C1CB50C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339592" y="13655040"/>
            <a:ext cx="5241013" cy="17541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164899</xdr:colOff>
      <xdr:row>93</xdr:row>
      <xdr:rowOff>7617</xdr:rowOff>
    </xdr:from>
    <xdr:to>
      <xdr:col>5</xdr:col>
      <xdr:colOff>309974</xdr:colOff>
      <xdr:row>107</xdr:row>
      <xdr:rowOff>22857</xdr:rowOff>
    </xdr:to>
    <xdr:grpSp>
      <xdr:nvGrpSpPr>
        <xdr:cNvPr id="23" name="Gruppieren 22">
          <a:extLst>
            <a:ext uri="{FF2B5EF4-FFF2-40B4-BE49-F238E27FC236}">
              <a16:creationId xmlns:a16="http://schemas.microsoft.com/office/drawing/2014/main" id="{DE309D66-0086-461E-A873-BCC03E0E957B}"/>
            </a:ext>
          </a:extLst>
        </xdr:cNvPr>
        <xdr:cNvGrpSpPr/>
      </xdr:nvGrpSpPr>
      <xdr:grpSpPr>
        <a:xfrm>
          <a:off x="955474" y="16933542"/>
          <a:ext cx="3307375" cy="2586990"/>
          <a:chOff x="955765" y="17071482"/>
          <a:chExt cx="3831349" cy="2976738"/>
        </a:xfrm>
      </xdr:grpSpPr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6583CE3-E316-48E8-BEE4-1BAA48553620}"/>
              </a:ext>
            </a:extLst>
          </xdr:cNvPr>
          <xdr:cNvSpPr txBox="1"/>
        </xdr:nvSpPr>
        <xdr:spPr>
          <a:xfrm rot="16200000">
            <a:off x="629931" y="17397316"/>
            <a:ext cx="957438" cy="3057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 5</a:t>
            </a:r>
          </a:p>
        </xdr:txBody>
      </xdr:sp>
      <xdr:grpSp>
        <xdr:nvGrpSpPr>
          <xdr:cNvPr id="18" name="Gruppieren 17">
            <a:extLst>
              <a:ext uri="{FF2B5EF4-FFF2-40B4-BE49-F238E27FC236}">
                <a16:creationId xmlns:a16="http://schemas.microsoft.com/office/drawing/2014/main" id="{2BC97F05-5DCC-4484-B2EC-14959DDD3D71}"/>
              </a:ext>
            </a:extLst>
          </xdr:cNvPr>
          <xdr:cNvGrpSpPr/>
        </xdr:nvGrpSpPr>
        <xdr:grpSpPr>
          <a:xfrm>
            <a:off x="1234439" y="17238414"/>
            <a:ext cx="3552675" cy="2809806"/>
            <a:chOff x="1584960" y="17251680"/>
            <a:chExt cx="5777216" cy="4543157"/>
          </a:xfrm>
        </xdr:grpSpPr>
        <xdr:pic>
          <xdr:nvPicPr>
            <xdr:cNvPr id="16" name="Grafik 15">
              <a:extLst>
                <a:ext uri="{FF2B5EF4-FFF2-40B4-BE49-F238E27FC236}">
                  <a16:creationId xmlns:a16="http://schemas.microsoft.com/office/drawing/2014/main" id="{BE0E1336-4D8C-4784-AC4A-0B1F310A303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84960" y="17251680"/>
              <a:ext cx="4723809" cy="2533333"/>
            </a:xfrm>
            <a:prstGeom prst="rect">
              <a:avLst/>
            </a:prstGeom>
          </xdr:spPr>
        </xdr:pic>
        <xdr:pic>
          <xdr:nvPicPr>
            <xdr:cNvPr id="17" name="Grafik 16">
              <a:extLst>
                <a:ext uri="{FF2B5EF4-FFF2-40B4-BE49-F238E27FC236}">
                  <a16:creationId xmlns:a16="http://schemas.microsoft.com/office/drawing/2014/main" id="{7D7EA8A1-8275-4B98-BEBC-65D1A53D4C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71700" y="19651980"/>
              <a:ext cx="5190476" cy="2142857"/>
            </a:xfrm>
            <a:prstGeom prst="rect">
              <a:avLst/>
            </a:prstGeom>
          </xdr:spPr>
        </xdr:pic>
      </xdr:grpSp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BD4E12A6-EE47-4FE7-8554-E1115823FDE6}"/>
              </a:ext>
            </a:extLst>
          </xdr:cNvPr>
          <xdr:cNvSpPr txBox="1"/>
        </xdr:nvSpPr>
        <xdr:spPr>
          <a:xfrm rot="16200000">
            <a:off x="636221" y="18357865"/>
            <a:ext cx="978900" cy="3057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 6</a:t>
            </a:r>
          </a:p>
        </xdr:txBody>
      </xdr:sp>
    </xdr:grpSp>
    <xdr:clientData/>
  </xdr:twoCellAnchor>
  <xdr:oneCellAnchor>
    <xdr:from>
      <xdr:col>1</xdr:col>
      <xdr:colOff>304800</xdr:colOff>
      <xdr:row>119</xdr:row>
      <xdr:rowOff>128587</xdr:rowOff>
    </xdr:from>
    <xdr:ext cx="264560" cy="807720"/>
    <xdr:sp macro="" textlink="">
      <xdr:nvSpPr>
        <xdr:cNvPr id="20" name="Textfeld 19">
          <a:extLst>
            <a:ext uri="{FF2B5EF4-FFF2-40B4-BE49-F238E27FC236}">
              <a16:creationId xmlns:a16="http://schemas.microsoft.com/office/drawing/2014/main" id="{1BCF17B6-97E6-4B38-899B-A2B8E2B4586E}"/>
            </a:ext>
          </a:extLst>
        </xdr:cNvPr>
        <xdr:cNvSpPr txBox="1"/>
      </xdr:nvSpPr>
      <xdr:spPr>
        <a:xfrm rot="16200000">
          <a:off x="823795" y="22088592"/>
          <a:ext cx="8077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9</a:t>
          </a:r>
        </a:p>
      </xdr:txBody>
    </xdr:sp>
    <xdr:clientData/>
  </xdr:oneCellAnchor>
  <xdr:twoCellAnchor>
    <xdr:from>
      <xdr:col>1</xdr:col>
      <xdr:colOff>281940</xdr:colOff>
      <xdr:row>107</xdr:row>
      <xdr:rowOff>137160</xdr:rowOff>
    </xdr:from>
    <xdr:to>
      <xdr:col>6</xdr:col>
      <xdr:colOff>205740</xdr:colOff>
      <xdr:row>113</xdr:row>
      <xdr:rowOff>82411</xdr:rowOff>
    </xdr:to>
    <xdr:grpSp>
      <xdr:nvGrpSpPr>
        <xdr:cNvPr id="26" name="Gruppieren 25">
          <a:extLst>
            <a:ext uri="{FF2B5EF4-FFF2-40B4-BE49-F238E27FC236}">
              <a16:creationId xmlns:a16="http://schemas.microsoft.com/office/drawing/2014/main" id="{16DB6FB8-70A5-404A-BC05-0B0BB39278B3}"/>
            </a:ext>
          </a:extLst>
        </xdr:cNvPr>
        <xdr:cNvGrpSpPr/>
      </xdr:nvGrpSpPr>
      <xdr:grpSpPr>
        <a:xfrm>
          <a:off x="1072515" y="19634835"/>
          <a:ext cx="3876675" cy="1050151"/>
          <a:chOff x="1074420" y="19857720"/>
          <a:chExt cx="3886200" cy="1042531"/>
        </a:xfrm>
      </xdr:grpSpPr>
      <xdr:pic>
        <xdr:nvPicPr>
          <xdr:cNvPr id="24" name="Grafik 23">
            <a:extLst>
              <a:ext uri="{FF2B5EF4-FFF2-40B4-BE49-F238E27FC236}">
                <a16:creationId xmlns:a16="http://schemas.microsoft.com/office/drawing/2014/main" id="{F5DB762E-84C5-4544-A579-67915E4B3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95400" y="19857720"/>
            <a:ext cx="3665220" cy="1042531"/>
          </a:xfrm>
          <a:prstGeom prst="rect">
            <a:avLst/>
          </a:prstGeom>
        </xdr:spPr>
      </xdr:pic>
      <xdr:sp macro="" textlink="">
        <xdr:nvSpPr>
          <xdr:cNvPr id="25" name="Textfeld 24">
            <a:extLst>
              <a:ext uri="{FF2B5EF4-FFF2-40B4-BE49-F238E27FC236}">
                <a16:creationId xmlns:a16="http://schemas.microsoft.com/office/drawing/2014/main" id="{E87BEC55-63C2-4C80-9018-5ED61370738D}"/>
              </a:ext>
            </a:extLst>
          </xdr:cNvPr>
          <xdr:cNvSpPr txBox="1"/>
        </xdr:nvSpPr>
        <xdr:spPr>
          <a:xfrm rot="16200000">
            <a:off x="802840" y="20205500"/>
            <a:ext cx="80772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r>
              <a:rPr lang="de-DE" sz="1100"/>
              <a:t>Equation 5</a:t>
            </a:r>
          </a:p>
        </xdr:txBody>
      </xdr:sp>
    </xdr:grpSp>
    <xdr:clientData/>
  </xdr:twoCellAnchor>
  <xdr:twoCellAnchor editAs="oneCell">
    <xdr:from>
      <xdr:col>1</xdr:col>
      <xdr:colOff>538164</xdr:colOff>
      <xdr:row>116</xdr:row>
      <xdr:rowOff>130368</xdr:rowOff>
    </xdr:from>
    <xdr:to>
      <xdr:col>5</xdr:col>
      <xdr:colOff>315974</xdr:colOff>
      <xdr:row>128</xdr:row>
      <xdr:rowOff>161925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C9F4DD05-B699-4286-8026-B1464AEA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8739" y="21275868"/>
          <a:ext cx="2940110" cy="2241357"/>
        </a:xfrm>
        <a:prstGeom prst="rect">
          <a:avLst/>
        </a:prstGeom>
      </xdr:spPr>
    </xdr:pic>
    <xdr:clientData/>
  </xdr:twoCellAnchor>
  <xdr:oneCellAnchor>
    <xdr:from>
      <xdr:col>1</xdr:col>
      <xdr:colOff>323850</xdr:colOff>
      <xdr:row>129</xdr:row>
      <xdr:rowOff>95249</xdr:rowOff>
    </xdr:from>
    <xdr:ext cx="264560" cy="904875"/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15B6B6E3-7BEF-4118-A65C-69ACA31AD59B}"/>
            </a:ext>
          </a:extLst>
        </xdr:cNvPr>
        <xdr:cNvSpPr txBox="1"/>
      </xdr:nvSpPr>
      <xdr:spPr>
        <a:xfrm rot="16200000">
          <a:off x="794267" y="23913582"/>
          <a:ext cx="9048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0</xdr:col>
      <xdr:colOff>43057</xdr:colOff>
      <xdr:row>159</xdr:row>
      <xdr:rowOff>95249</xdr:rowOff>
    </xdr:from>
    <xdr:ext cx="264560" cy="893445"/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6F56D311-1DF6-4AB8-BA1F-20E855191618}"/>
            </a:ext>
          </a:extLst>
        </xdr:cNvPr>
        <xdr:cNvSpPr txBox="1"/>
      </xdr:nvSpPr>
      <xdr:spPr>
        <a:xfrm rot="16200000">
          <a:off x="-271386" y="29337117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1</xdr:col>
      <xdr:colOff>295275</xdr:colOff>
      <xdr:row>115</xdr:row>
      <xdr:rowOff>128588</xdr:rowOff>
    </xdr:from>
    <xdr:ext cx="264560" cy="807720"/>
    <xdr:sp macro="" textlink="">
      <xdr:nvSpPr>
        <xdr:cNvPr id="32" name="Textfeld 31">
          <a:extLst>
            <a:ext uri="{FF2B5EF4-FFF2-40B4-BE49-F238E27FC236}">
              <a16:creationId xmlns:a16="http://schemas.microsoft.com/office/drawing/2014/main" id="{5FD760D0-2851-4CD9-B1E8-CC6B9C3D5298}"/>
            </a:ext>
          </a:extLst>
        </xdr:cNvPr>
        <xdr:cNvSpPr txBox="1"/>
      </xdr:nvSpPr>
      <xdr:spPr>
        <a:xfrm rot="16200000">
          <a:off x="814270" y="21364693"/>
          <a:ext cx="8077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8</a:t>
          </a:r>
        </a:p>
      </xdr:txBody>
    </xdr:sp>
    <xdr:clientData/>
  </xdr:oneCellAnchor>
  <xdr:twoCellAnchor editAs="oneCell">
    <xdr:from>
      <xdr:col>1</xdr:col>
      <xdr:colOff>552450</xdr:colOff>
      <xdr:row>129</xdr:row>
      <xdr:rowOff>138113</xdr:rowOff>
    </xdr:from>
    <xdr:to>
      <xdr:col>6</xdr:col>
      <xdr:colOff>209983</xdr:colOff>
      <xdr:row>136</xdr:row>
      <xdr:rowOff>142455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07863A48-52DD-4BBC-8976-E5B513D1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43025" y="23636288"/>
          <a:ext cx="3610408" cy="1290217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157</xdr:row>
      <xdr:rowOff>0</xdr:rowOff>
    </xdr:from>
    <xdr:ext cx="264560" cy="893445"/>
    <xdr:sp macro="" textlink="">
      <xdr:nvSpPr>
        <xdr:cNvPr id="34" name="Textfeld 33">
          <a:extLst>
            <a:ext uri="{FF2B5EF4-FFF2-40B4-BE49-F238E27FC236}">
              <a16:creationId xmlns:a16="http://schemas.microsoft.com/office/drawing/2014/main" id="{BD48BDB6-7B32-4274-9B4D-6C07ACC7F055}"/>
            </a:ext>
          </a:extLst>
        </xdr:cNvPr>
        <xdr:cNvSpPr txBox="1"/>
      </xdr:nvSpPr>
      <xdr:spPr>
        <a:xfrm rot="16200000">
          <a:off x="-314443" y="28879918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0</xdr:col>
      <xdr:colOff>0</xdr:colOff>
      <xdr:row>154</xdr:row>
      <xdr:rowOff>0</xdr:rowOff>
    </xdr:from>
    <xdr:ext cx="264560" cy="893445"/>
    <xdr:sp macro="" textlink="">
      <xdr:nvSpPr>
        <xdr:cNvPr id="35" name="Textfeld 34">
          <a:extLst>
            <a:ext uri="{FF2B5EF4-FFF2-40B4-BE49-F238E27FC236}">
              <a16:creationId xmlns:a16="http://schemas.microsoft.com/office/drawing/2014/main" id="{60AD9B82-B88E-475D-A71B-83C984D549F8}"/>
            </a:ext>
          </a:extLst>
        </xdr:cNvPr>
        <xdr:cNvSpPr txBox="1"/>
      </xdr:nvSpPr>
      <xdr:spPr>
        <a:xfrm rot="16200000">
          <a:off x="-314443" y="28336993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0</xdr:col>
      <xdr:colOff>0</xdr:colOff>
      <xdr:row>164</xdr:row>
      <xdr:rowOff>0</xdr:rowOff>
    </xdr:from>
    <xdr:ext cx="264560" cy="893445"/>
    <xdr:sp macro="" textlink="">
      <xdr:nvSpPr>
        <xdr:cNvPr id="36" name="Textfeld 35">
          <a:extLst>
            <a:ext uri="{FF2B5EF4-FFF2-40B4-BE49-F238E27FC236}">
              <a16:creationId xmlns:a16="http://schemas.microsoft.com/office/drawing/2014/main" id="{D83B721B-AD4A-42B5-B40F-3FE928DC5A32}"/>
            </a:ext>
          </a:extLst>
        </xdr:cNvPr>
        <xdr:cNvSpPr txBox="1"/>
      </xdr:nvSpPr>
      <xdr:spPr>
        <a:xfrm rot="16200000">
          <a:off x="-314443" y="30146743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0</xdr:col>
      <xdr:colOff>152400</xdr:colOff>
      <xdr:row>164</xdr:row>
      <xdr:rowOff>152400</xdr:rowOff>
    </xdr:from>
    <xdr:ext cx="264560" cy="893445"/>
    <xdr:sp macro="" textlink="">
      <xdr:nvSpPr>
        <xdr:cNvPr id="37" name="Textfeld 36">
          <a:extLst>
            <a:ext uri="{FF2B5EF4-FFF2-40B4-BE49-F238E27FC236}">
              <a16:creationId xmlns:a16="http://schemas.microsoft.com/office/drawing/2014/main" id="{18AFD955-DF5D-46B0-BE8C-DEEF82D9C327}"/>
            </a:ext>
          </a:extLst>
        </xdr:cNvPr>
        <xdr:cNvSpPr txBox="1"/>
      </xdr:nvSpPr>
      <xdr:spPr>
        <a:xfrm rot="16200000">
          <a:off x="-162043" y="30299143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  <xdr:oneCellAnchor>
    <xdr:from>
      <xdr:col>0</xdr:col>
      <xdr:colOff>304800</xdr:colOff>
      <xdr:row>165</xdr:row>
      <xdr:rowOff>123825</xdr:rowOff>
    </xdr:from>
    <xdr:ext cx="264560" cy="893445"/>
    <xdr:sp macro="" textlink="">
      <xdr:nvSpPr>
        <xdr:cNvPr id="38" name="Textfeld 37">
          <a:extLst>
            <a:ext uri="{FF2B5EF4-FFF2-40B4-BE49-F238E27FC236}">
              <a16:creationId xmlns:a16="http://schemas.microsoft.com/office/drawing/2014/main" id="{6B4FEB67-1F1E-4F75-84AC-A6F22A62DFE5}"/>
            </a:ext>
          </a:extLst>
        </xdr:cNvPr>
        <xdr:cNvSpPr txBox="1"/>
      </xdr:nvSpPr>
      <xdr:spPr>
        <a:xfrm rot="16200000">
          <a:off x="-9643" y="30451543"/>
          <a:ext cx="89344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de-DE" sz="1100"/>
            <a:t>Equation 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lit/an/slva535b/slva535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A073-014C-42B1-834D-E5C8B5377E2A}">
  <dimension ref="B2:N142"/>
  <sheetViews>
    <sheetView tabSelected="1" topLeftCell="A45" zoomScale="160" zoomScaleNormal="160" workbookViewId="0">
      <selection activeCell="D55" sqref="D55"/>
    </sheetView>
  </sheetViews>
  <sheetFormatPr baseColWidth="10" defaultRowHeight="14.4" x14ac:dyDescent="0.3"/>
  <cols>
    <col min="11" max="11" width="12" bestFit="1" customWidth="1"/>
  </cols>
  <sheetData>
    <row r="2" spans="2:14" x14ac:dyDescent="0.3">
      <c r="B2" s="9" t="s">
        <v>31</v>
      </c>
    </row>
    <row r="4" spans="2:14" x14ac:dyDescent="0.3">
      <c r="B4" s="1"/>
      <c r="C4" s="1" t="s">
        <v>30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x14ac:dyDescent="0.3">
      <c r="B5" s="5" t="s">
        <v>16</v>
      </c>
      <c r="C5" s="8">
        <v>5</v>
      </c>
      <c r="D5" s="4" t="s">
        <v>25</v>
      </c>
      <c r="E5" s="4"/>
      <c r="F5" s="4"/>
      <c r="G5" s="4"/>
      <c r="H5" s="4"/>
      <c r="I5" s="17" t="s">
        <v>62</v>
      </c>
      <c r="J5" s="7">
        <v>100</v>
      </c>
      <c r="K5" s="17" t="s">
        <v>63</v>
      </c>
      <c r="L5" s="4"/>
      <c r="M5" s="4"/>
      <c r="N5" s="4"/>
    </row>
    <row r="6" spans="2:14" x14ac:dyDescent="0.3">
      <c r="B6" s="5" t="s">
        <v>15</v>
      </c>
      <c r="C6" s="8">
        <v>80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3">
      <c r="B7" s="5" t="s">
        <v>13</v>
      </c>
      <c r="C7" s="8">
        <v>14</v>
      </c>
      <c r="D7" s="17" t="s">
        <v>26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2:14" x14ac:dyDescent="0.3">
      <c r="B8" s="5" t="s">
        <v>14</v>
      </c>
      <c r="C8" s="7">
        <v>30</v>
      </c>
      <c r="D8" s="4" t="s">
        <v>27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2:14" x14ac:dyDescent="0.3">
      <c r="B10" s="5" t="s">
        <v>19</v>
      </c>
      <c r="C10" s="10">
        <v>0.96</v>
      </c>
      <c r="D10" s="4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x14ac:dyDescent="0.3">
      <c r="B11" s="5" t="s">
        <v>46</v>
      </c>
      <c r="C11" s="6">
        <v>39000</v>
      </c>
      <c r="D11" s="4" t="s">
        <v>48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x14ac:dyDescent="0.3">
      <c r="B12" s="5" t="s">
        <v>47</v>
      </c>
      <c r="C12" s="16">
        <v>0.35</v>
      </c>
      <c r="D12" s="12" t="s">
        <v>49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4" spans="2:14" x14ac:dyDescent="0.3">
      <c r="B14" s="1">
        <v>1</v>
      </c>
      <c r="C14" s="1" t="s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2:14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2:14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2:14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2:14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2:14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2:14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4" spans="2:14" x14ac:dyDescent="0.3">
      <c r="B24" s="2" t="s">
        <v>17</v>
      </c>
      <c r="C24" s="1" t="s">
        <v>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2:14" x14ac:dyDescent="0.3">
      <c r="B26" s="4"/>
      <c r="C26" s="5" t="s">
        <v>2</v>
      </c>
      <c r="D26" s="4" t="s">
        <v>3</v>
      </c>
      <c r="E26" s="4"/>
      <c r="F26" s="4" t="s">
        <v>10</v>
      </c>
      <c r="G26" s="4"/>
      <c r="H26" s="4"/>
      <c r="I26" s="4"/>
      <c r="J26" s="4"/>
      <c r="K26" s="4"/>
      <c r="L26" s="4"/>
      <c r="M26" s="4"/>
      <c r="N26" s="4"/>
    </row>
    <row r="27" spans="2:14" x14ac:dyDescent="0.3">
      <c r="B27" s="4"/>
      <c r="C27" s="5" t="s">
        <v>4</v>
      </c>
      <c r="D27" s="4" t="s">
        <v>7</v>
      </c>
      <c r="E27" s="4"/>
      <c r="F27" s="4" t="s">
        <v>11</v>
      </c>
      <c r="G27" s="4"/>
      <c r="H27" s="4"/>
      <c r="I27" s="4"/>
      <c r="J27" s="4"/>
      <c r="K27" s="4"/>
      <c r="L27" s="4"/>
      <c r="M27" s="4"/>
      <c r="N27" s="4"/>
    </row>
    <row r="28" spans="2:14" x14ac:dyDescent="0.3">
      <c r="B28" s="4"/>
      <c r="C28" s="5" t="s">
        <v>5</v>
      </c>
      <c r="D28" s="4" t="s">
        <v>8</v>
      </c>
      <c r="E28" s="4"/>
      <c r="F28" s="4" t="s">
        <v>12</v>
      </c>
      <c r="G28" s="4"/>
      <c r="H28" s="4"/>
      <c r="I28" s="4"/>
      <c r="J28" s="4"/>
      <c r="K28" s="4"/>
      <c r="L28" s="4"/>
      <c r="M28" s="4"/>
      <c r="N28" s="4"/>
    </row>
    <row r="29" spans="2:14" x14ac:dyDescent="0.3">
      <c r="B29" s="4"/>
      <c r="C29" s="5" t="s">
        <v>6</v>
      </c>
      <c r="D29" s="4" t="s">
        <v>9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4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2" spans="2:14" x14ac:dyDescent="0.3">
      <c r="B32" s="1">
        <v>2</v>
      </c>
      <c r="C32" s="3" t="s"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ht="15" thickBot="1" x14ac:dyDescent="0.3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ht="15" thickBot="1" x14ac:dyDescent="0.35">
      <c r="B35" s="4"/>
      <c r="C35" s="4"/>
      <c r="D35" s="4"/>
      <c r="E35" s="4"/>
      <c r="F35" s="4"/>
      <c r="G35" s="4"/>
      <c r="H35" s="4"/>
      <c r="I35" s="15" t="s">
        <v>28</v>
      </c>
      <c r="J35" s="23">
        <f xml:space="preserve"> C7 / ( C6 * C10)</f>
        <v>0.18229166666666669</v>
      </c>
      <c r="K35" s="4"/>
      <c r="L35" s="4"/>
      <c r="M35" s="4"/>
      <c r="N35" s="4"/>
    </row>
    <row r="36" spans="2:14" ht="15" thickBot="1" x14ac:dyDescent="0.3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ht="15" thickBot="1" x14ac:dyDescent="0.35">
      <c r="B37" s="4"/>
      <c r="C37" s="4"/>
      <c r="D37" s="4"/>
      <c r="E37" s="4"/>
      <c r="F37" s="4"/>
      <c r="G37" s="4"/>
      <c r="H37" s="4"/>
      <c r="I37" s="15" t="s">
        <v>29</v>
      </c>
      <c r="J37" s="23">
        <f xml:space="preserve"> 1 - ( ( C5 * C10 ) / C7 )</f>
        <v>0.65714285714285714</v>
      </c>
      <c r="K37" s="4"/>
      <c r="L37" s="4"/>
      <c r="M37" s="4"/>
      <c r="N37" s="4"/>
    </row>
    <row r="38" spans="2:14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2:14" x14ac:dyDescent="0.3">
      <c r="B41" s="4"/>
      <c r="C41" s="4"/>
      <c r="D41" s="4"/>
      <c r="E41" s="4"/>
      <c r="F41" s="4"/>
      <c r="G41" s="4"/>
      <c r="H41" s="4"/>
      <c r="I41" s="17"/>
      <c r="J41" s="4"/>
      <c r="K41" s="4"/>
      <c r="L41" s="4"/>
      <c r="M41" s="4"/>
      <c r="N41" s="4"/>
    </row>
    <row r="42" spans="2:14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14" x14ac:dyDescent="0.3">
      <c r="B43" s="4"/>
      <c r="C43" s="19" t="s">
        <v>20</v>
      </c>
      <c r="D43" s="11" t="s">
        <v>22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2:14" x14ac:dyDescent="0.3">
      <c r="B44" s="4"/>
      <c r="C44" s="5" t="s">
        <v>21</v>
      </c>
      <c r="D44" s="4" t="s">
        <v>23</v>
      </c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2:14" x14ac:dyDescent="0.3">
      <c r="B45" s="4"/>
      <c r="C45" s="5" t="s">
        <v>19</v>
      </c>
      <c r="D45" s="4" t="s">
        <v>24</v>
      </c>
      <c r="E45" s="4"/>
      <c r="F45" s="4"/>
      <c r="G45" s="4"/>
      <c r="H45" s="17"/>
      <c r="I45" s="17" t="s">
        <v>69</v>
      </c>
      <c r="J45" s="4"/>
      <c r="K45" s="4"/>
      <c r="L45" s="4"/>
      <c r="M45" s="4"/>
      <c r="N45" s="4"/>
    </row>
    <row r="46" spans="2:14" x14ac:dyDescent="0.3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8" spans="2:14" x14ac:dyDescent="0.3">
      <c r="B48" s="1">
        <v>3</v>
      </c>
      <c r="C48" s="3" t="s">
        <v>32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2:14" x14ac:dyDescent="0.3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14" x14ac:dyDescent="0.3">
      <c r="B50" s="4"/>
      <c r="C50" s="4" t="s">
        <v>33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4" x14ac:dyDescent="0.3">
      <c r="B51" s="4"/>
      <c r="C51" s="4" t="s">
        <v>37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2:14" x14ac:dyDescent="0.3">
      <c r="B52" s="4"/>
      <c r="C52" s="4" t="s">
        <v>38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2:14" x14ac:dyDescent="0.3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2:14" x14ac:dyDescent="0.3">
      <c r="B54" s="4"/>
      <c r="C54" s="18" t="s">
        <v>51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2:14" x14ac:dyDescent="0.3">
      <c r="B55" s="4"/>
      <c r="C55" s="12" t="s">
        <v>34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2:14" ht="15" thickBot="1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2:14" ht="15" thickBot="1" x14ac:dyDescent="0.35">
      <c r="B57" s="4"/>
      <c r="C57" s="4" t="s">
        <v>35</v>
      </c>
      <c r="D57" s="4"/>
      <c r="E57" s="4"/>
      <c r="F57" s="4"/>
      <c r="G57" s="4"/>
      <c r="H57" s="4"/>
      <c r="I57" s="4"/>
      <c r="J57" s="21" t="s">
        <v>55</v>
      </c>
      <c r="K57" s="20"/>
      <c r="L57" s="14">
        <f>MAX(K64,K77)</f>
        <v>2.8205128205128204E-5</v>
      </c>
      <c r="M57" s="17" t="s">
        <v>68</v>
      </c>
      <c r="N57" s="4"/>
    </row>
    <row r="58" spans="2:14" x14ac:dyDescent="0.3">
      <c r="B58" s="4"/>
      <c r="C58" s="12" t="s">
        <v>36</v>
      </c>
      <c r="D58" s="4"/>
      <c r="E58" s="4"/>
      <c r="F58" s="4"/>
      <c r="G58" s="4"/>
      <c r="H58" s="4"/>
      <c r="I58" s="4"/>
      <c r="J58" s="5"/>
      <c r="K58" s="4"/>
      <c r="L58" s="4"/>
      <c r="M58" s="4"/>
      <c r="N58" s="4"/>
    </row>
    <row r="59" spans="2:14" x14ac:dyDescent="0.3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1" spans="2:14" x14ac:dyDescent="0.3">
      <c r="B61" s="2" t="s">
        <v>39</v>
      </c>
      <c r="C61" s="1" t="s">
        <v>41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2:14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2:14" ht="15" thickBot="1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2:14" ht="15" thickBot="1" x14ac:dyDescent="0.35">
      <c r="B64" s="4"/>
      <c r="C64" s="4"/>
      <c r="D64" s="4"/>
      <c r="E64" s="4"/>
      <c r="F64" s="4"/>
      <c r="G64" s="4"/>
      <c r="H64" s="4"/>
      <c r="I64" s="4"/>
      <c r="J64" s="13" t="s">
        <v>45</v>
      </c>
      <c r="K64" s="14">
        <f xml:space="preserve"> ( C7 * ( C6 - C7 ) ) / ( C12 * C11 * C6 * C8 )</f>
        <v>2.8205128205128204E-5</v>
      </c>
      <c r="L64" s="4"/>
      <c r="M64" s="17" t="s">
        <v>68</v>
      </c>
      <c r="N64" s="4"/>
    </row>
    <row r="65" spans="2:14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2:14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2:14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2:14" x14ac:dyDescent="0.3">
      <c r="B68" s="4"/>
      <c r="C68" s="4"/>
      <c r="D68" s="4"/>
      <c r="E68" s="4"/>
      <c r="F68" s="4"/>
      <c r="G68" s="4"/>
      <c r="H68" s="4"/>
      <c r="I68" s="4"/>
      <c r="J68" s="17" t="s">
        <v>50</v>
      </c>
      <c r="K68" s="4"/>
      <c r="L68" s="4"/>
      <c r="M68" s="4"/>
      <c r="N68" s="4"/>
    </row>
    <row r="69" spans="2:14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2:14" x14ac:dyDescent="0.3">
      <c r="B70" s="4"/>
      <c r="C70" s="4"/>
      <c r="D70" s="4"/>
      <c r="E70" s="4"/>
      <c r="F70" s="4"/>
      <c r="G70" s="4"/>
      <c r="H70" s="4"/>
      <c r="I70" s="4"/>
      <c r="J70" s="4" t="s">
        <v>43</v>
      </c>
      <c r="K70" s="4"/>
      <c r="L70" s="4"/>
      <c r="M70" s="4"/>
      <c r="N70" s="4"/>
    </row>
    <row r="71" spans="2:14" x14ac:dyDescent="0.3">
      <c r="B71" s="4"/>
      <c r="C71" s="4"/>
      <c r="D71" s="4"/>
      <c r="E71" s="4"/>
      <c r="F71" s="4"/>
      <c r="G71" s="4"/>
      <c r="H71" s="4"/>
      <c r="I71" s="4"/>
      <c r="J71" s="4" t="s">
        <v>44</v>
      </c>
      <c r="K71" s="4"/>
      <c r="L71" s="4"/>
      <c r="M71" s="4"/>
      <c r="N71" s="4"/>
    </row>
    <row r="72" spans="2:14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4" spans="2:14" x14ac:dyDescent="0.3">
      <c r="B74" s="2" t="s">
        <v>40</v>
      </c>
      <c r="C74" s="1" t="s">
        <v>42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2:14" ht="15" thickBot="1" x14ac:dyDescent="0.3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2:14" ht="15" thickBot="1" x14ac:dyDescent="0.35">
      <c r="B77" s="4"/>
      <c r="C77" s="4"/>
      <c r="D77" s="4"/>
      <c r="E77" s="4"/>
      <c r="F77" s="4"/>
      <c r="G77" s="4"/>
      <c r="H77" s="4"/>
      <c r="I77" s="4"/>
      <c r="J77" s="13" t="s">
        <v>45</v>
      </c>
      <c r="K77" s="14">
        <f xml:space="preserve"> ( C5^2 * ( C7 - C5 ) ) / ( C11 * C12 * C8 * C7^2 )</f>
        <v>2.8033191298497419E-6</v>
      </c>
      <c r="L77" s="4"/>
      <c r="M77" s="17" t="s">
        <v>67</v>
      </c>
      <c r="N77" s="4"/>
    </row>
    <row r="78" spans="2:14" x14ac:dyDescent="0.3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2:14" x14ac:dyDescent="0.3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2:14" x14ac:dyDescent="0.3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2:14" x14ac:dyDescent="0.3">
      <c r="B81" s="4"/>
      <c r="C81" s="4"/>
      <c r="D81" s="4"/>
      <c r="E81" s="4"/>
      <c r="F81" s="4"/>
      <c r="G81" s="4"/>
      <c r="H81" s="4"/>
      <c r="I81" s="4"/>
      <c r="J81" s="4" t="s">
        <v>50</v>
      </c>
      <c r="K81" s="4"/>
      <c r="L81" s="4"/>
      <c r="M81" s="4"/>
      <c r="N81" s="4"/>
    </row>
    <row r="82" spans="2:14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2:14" x14ac:dyDescent="0.3">
      <c r="B83" s="4"/>
      <c r="C83" s="4"/>
      <c r="D83" s="4"/>
      <c r="E83" s="4"/>
      <c r="F83" s="4"/>
      <c r="G83" s="4"/>
      <c r="H83" s="4"/>
      <c r="I83" s="4"/>
      <c r="J83" s="4" t="s">
        <v>43</v>
      </c>
      <c r="K83" s="4"/>
      <c r="L83" s="4"/>
      <c r="M83" s="4"/>
      <c r="N83" s="4"/>
    </row>
    <row r="84" spans="2:14" x14ac:dyDescent="0.3">
      <c r="B84" s="4"/>
      <c r="C84" s="4"/>
      <c r="D84" s="4"/>
      <c r="E84" s="4"/>
      <c r="F84" s="4"/>
      <c r="G84" s="4"/>
      <c r="H84" s="4"/>
      <c r="I84" s="4"/>
      <c r="J84" s="4" t="s">
        <v>44</v>
      </c>
      <c r="K84" s="4"/>
      <c r="L84" s="4"/>
      <c r="M84" s="4"/>
      <c r="N84" s="4"/>
    </row>
    <row r="85" spans="2:14" x14ac:dyDescent="0.3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7" spans="2:14" x14ac:dyDescent="0.3">
      <c r="B87" s="2" t="s">
        <v>58</v>
      </c>
      <c r="C87" s="1" t="s">
        <v>52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2:14" x14ac:dyDescent="0.3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2:14" x14ac:dyDescent="0.3">
      <c r="B89" s="4"/>
      <c r="C89" s="4" t="s">
        <v>53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2:14" x14ac:dyDescent="0.3">
      <c r="B90" s="4"/>
      <c r="C90" s="4" t="s">
        <v>54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2:14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3" spans="2:14" x14ac:dyDescent="0.3">
      <c r="B93" s="2" t="s">
        <v>59</v>
      </c>
      <c r="C93" s="1" t="s">
        <v>41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2:14" ht="15" thickBot="1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2:14" ht="15" thickBot="1" x14ac:dyDescent="0.35">
      <c r="B95" s="4"/>
      <c r="C95" s="4"/>
      <c r="D95" s="4"/>
      <c r="E95" s="4"/>
      <c r="F95" s="4"/>
      <c r="G95" s="4"/>
      <c r="H95" s="22" t="s">
        <v>56</v>
      </c>
      <c r="I95" s="24">
        <f>((C6-C7)*J35/(C11*L57))</f>
        <v>10.937500000000004</v>
      </c>
      <c r="J95" s="4"/>
      <c r="K95" s="4"/>
      <c r="L95" s="4"/>
      <c r="M95" s="4"/>
      <c r="N95" s="4"/>
    </row>
    <row r="96" spans="2:14" ht="15" thickBot="1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2:14" ht="15" thickBot="1" x14ac:dyDescent="0.35">
      <c r="B97" s="4"/>
      <c r="C97" s="4"/>
      <c r="D97" s="4"/>
      <c r="E97" s="4"/>
      <c r="F97" s="4"/>
      <c r="G97" s="4"/>
      <c r="H97" s="22" t="s">
        <v>57</v>
      </c>
      <c r="I97" s="25">
        <f xml:space="preserve"> ( I95 / 2 ) + C8</f>
        <v>35.46875</v>
      </c>
      <c r="J97" s="4"/>
      <c r="K97" s="4"/>
      <c r="L97" s="4"/>
      <c r="M97" s="4"/>
      <c r="N97" s="4"/>
    </row>
    <row r="98" spans="2:14" x14ac:dyDescent="0.3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2:14" x14ac:dyDescent="0.3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2:14" x14ac:dyDescent="0.3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2:14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2:14" x14ac:dyDescent="0.3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2:14" x14ac:dyDescent="0.3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2:14" x14ac:dyDescent="0.3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2:14" x14ac:dyDescent="0.3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2:14" x14ac:dyDescent="0.3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2:14" x14ac:dyDescent="0.3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2:14" ht="15" thickBot="1" x14ac:dyDescent="0.3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2:14" ht="15" thickBot="1" x14ac:dyDescent="0.35">
      <c r="B109" s="4"/>
      <c r="C109" s="4"/>
      <c r="D109" s="4"/>
      <c r="E109" s="4"/>
      <c r="F109" s="4"/>
      <c r="G109" s="4"/>
      <c r="H109" s="22" t="s">
        <v>61</v>
      </c>
      <c r="I109" s="25">
        <f xml:space="preserve"> J5 - ( I95 / 2)</f>
        <v>94.53125</v>
      </c>
      <c r="J109" s="4"/>
      <c r="K109" s="4"/>
      <c r="L109" s="4"/>
      <c r="M109" s="4"/>
      <c r="N109" s="4"/>
    </row>
    <row r="110" spans="2:14" x14ac:dyDescent="0.3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2:14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2:14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2:14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2:14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6" spans="2:14" x14ac:dyDescent="0.3">
      <c r="B116" s="2" t="s">
        <v>60</v>
      </c>
      <c r="C116" s="1" t="s">
        <v>42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2:14" ht="15" thickBot="1" x14ac:dyDescent="0.3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2:14" ht="15" thickBot="1" x14ac:dyDescent="0.35">
      <c r="B118" s="4"/>
      <c r="C118" s="4"/>
      <c r="D118" s="4"/>
      <c r="E118" s="4"/>
      <c r="F118" s="4"/>
      <c r="G118" s="4"/>
      <c r="H118" s="22" t="s">
        <v>56</v>
      </c>
      <c r="I118" s="24">
        <f xml:space="preserve"> ( C5 * J37 ) / ( C11 * L57)</f>
        <v>2.9870129870129873</v>
      </c>
      <c r="J118" s="4"/>
      <c r="K118" s="4"/>
      <c r="L118" s="4"/>
      <c r="M118" s="4"/>
      <c r="N118" s="4"/>
    </row>
    <row r="119" spans="2:14" ht="15" thickBot="1" x14ac:dyDescent="0.3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2:14" ht="15" thickBot="1" x14ac:dyDescent="0.35">
      <c r="B120" s="4"/>
      <c r="C120" s="4"/>
      <c r="D120" s="4"/>
      <c r="E120" s="4"/>
      <c r="F120" s="4"/>
      <c r="G120" s="4"/>
      <c r="H120" s="22" t="s">
        <v>57</v>
      </c>
      <c r="I120" s="24">
        <f xml:space="preserve"> ( I118 / 2 ) + ( C8 / ( 1 - J37 ) )</f>
        <v>88.993506493506487</v>
      </c>
      <c r="J120" s="4"/>
      <c r="K120" s="4"/>
      <c r="L120" s="4"/>
      <c r="M120" s="4"/>
      <c r="N120" s="4"/>
    </row>
    <row r="121" spans="2:14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2:14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2:14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2:14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2:14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2:14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2:14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2:14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2:14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2:14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2:14" ht="15" thickBot="1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2:14" ht="15" thickBot="1" x14ac:dyDescent="0.35">
      <c r="B132" s="4"/>
      <c r="C132" s="4"/>
      <c r="D132" s="4"/>
      <c r="E132" s="4"/>
      <c r="F132" s="4"/>
      <c r="G132" s="4"/>
      <c r="H132" s="22" t="s">
        <v>61</v>
      </c>
      <c r="I132" s="25">
        <f xml:space="preserve"> ( J5 - ( I118 / 2 ) ) * ( 1 - J37)</f>
        <v>33.773654916512065</v>
      </c>
      <c r="J132" s="4"/>
      <c r="K132" s="4"/>
      <c r="L132" s="4"/>
      <c r="M132" s="4"/>
      <c r="N132" s="4"/>
    </row>
    <row r="133" spans="2:14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2:14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2:14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2:14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2:14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2:14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40" spans="2:14" x14ac:dyDescent="0.3">
      <c r="B140" s="2" t="s">
        <v>64</v>
      </c>
      <c r="C140" s="1" t="s">
        <v>65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2:14" x14ac:dyDescent="0.3">
      <c r="B141" s="4"/>
      <c r="C141" s="4"/>
      <c r="D141" s="4"/>
      <c r="E141" s="4"/>
      <c r="F141" s="4"/>
      <c r="G141" s="17"/>
      <c r="H141" s="4"/>
      <c r="I141" s="4"/>
      <c r="J141" s="4"/>
      <c r="K141" s="4"/>
      <c r="L141" s="4"/>
      <c r="M141" s="4"/>
      <c r="N141" s="4"/>
    </row>
    <row r="142" spans="2:14" x14ac:dyDescent="0.3">
      <c r="C142" t="s">
        <v>66</v>
      </c>
    </row>
  </sheetData>
  <hyperlinks>
    <hyperlink ref="B2" r:id="rId1" xr:uid="{32680E8F-1792-4C99-BE51-41BD5819248C}"/>
  </hyperlinks>
  <pageMargins left="0.7" right="0.7" top="0.78740157499999996" bottom="0.78740157499999996" header="0.3" footer="0.3"/>
  <pageSetup paperSize="9" orientation="portrait" horizontalDpi="4294967293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</dc:creator>
  <cp:lastModifiedBy>Rene</cp:lastModifiedBy>
  <dcterms:created xsi:type="dcterms:W3CDTF">2024-03-05T08:15:32Z</dcterms:created>
  <dcterms:modified xsi:type="dcterms:W3CDTF">2024-03-10T02:28:47Z</dcterms:modified>
</cp:coreProperties>
</file>